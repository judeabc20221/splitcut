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jude/project/trace_spending/sheets/"/>
    </mc:Choice>
  </mc:AlternateContent>
  <xr:revisionPtr revIDLastSave="0" documentId="13_ncr:1_{E00D85B5-CF15-4445-BE86-B86DC810E01B}" xr6:coauthVersionLast="47" xr6:coauthVersionMax="47" xr10:uidLastSave="{00000000-0000-0000-0000-000000000000}"/>
  <bookViews>
    <workbookView xWindow="0" yWindow="660" windowWidth="29400" windowHeight="17280" xr2:uid="{00000000-000D-0000-FFFF-FFFF00000000}"/>
  </bookViews>
  <sheets>
    <sheet name="設定" sheetId="1" r:id="rId1"/>
    <sheet name="記帳" sheetId="2" r:id="rId2"/>
    <sheet name="結算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H15" i="3" s="1"/>
  <c r="A15" i="3"/>
  <c r="E15" i="3" s="1"/>
  <c r="G14" i="3"/>
  <c r="H14" i="3" s="1"/>
  <c r="C14" i="3"/>
  <c r="A14" i="3"/>
  <c r="E14" i="3" s="1"/>
  <c r="G13" i="3"/>
  <c r="H13" i="3" s="1"/>
  <c r="A13" i="3"/>
  <c r="B13" i="3" s="1"/>
  <c r="G12" i="3"/>
  <c r="H12" i="3" s="1"/>
  <c r="A12" i="3"/>
  <c r="E12" i="3" s="1"/>
  <c r="G11" i="3"/>
  <c r="H11" i="3" s="1"/>
  <c r="A11" i="3"/>
  <c r="B11" i="3" s="1"/>
  <c r="G10" i="3"/>
  <c r="H10" i="3" s="1"/>
  <c r="A10" i="3"/>
  <c r="D10" i="3" s="1"/>
  <c r="H9" i="3"/>
  <c r="G9" i="3"/>
  <c r="A9" i="3"/>
  <c r="G8" i="3"/>
  <c r="H8" i="3" s="1"/>
  <c r="C8" i="3"/>
  <c r="B8" i="3"/>
  <c r="D8" i="3" s="1"/>
  <c r="E8" i="3" s="1"/>
  <c r="A8" i="3"/>
  <c r="G7" i="3"/>
  <c r="H7" i="3" s="1"/>
  <c r="A7" i="3"/>
  <c r="G6" i="3"/>
  <c r="H6" i="3" s="1"/>
  <c r="A6" i="3"/>
  <c r="D5" i="3"/>
  <c r="C5" i="3"/>
  <c r="B5" i="3"/>
  <c r="B3" i="3"/>
  <c r="B2" i="3"/>
  <c r="B1" i="3"/>
  <c r="D13" i="3" l="1"/>
  <c r="C11" i="3"/>
  <c r="B7" i="3"/>
  <c r="D7" i="3" s="1"/>
  <c r="E7" i="3" s="1"/>
  <c r="C7" i="3"/>
  <c r="E11" i="3"/>
  <c r="C10" i="3"/>
  <c r="B9" i="3"/>
  <c r="D9" i="3" s="1"/>
  <c r="E9" i="3" s="1"/>
  <c r="E10" i="3"/>
  <c r="C9" i="3"/>
  <c r="B12" i="3"/>
  <c r="E13" i="3"/>
  <c r="D11" i="3"/>
  <c r="B10" i="3"/>
  <c r="B6" i="3"/>
  <c r="D6" i="3" s="1"/>
  <c r="C13" i="3"/>
  <c r="C6" i="3"/>
  <c r="C12" i="3"/>
  <c r="B15" i="3"/>
  <c r="D12" i="3"/>
  <c r="C15" i="3"/>
  <c r="D15" i="3"/>
  <c r="B14" i="3"/>
  <c r="D14" i="3"/>
  <c r="B17" i="3" l="1"/>
  <c r="E6" i="3"/>
</calcChain>
</file>

<file path=xl/sharedStrings.xml><?xml version="1.0" encoding="utf-8"?>
<sst xmlns="http://schemas.openxmlformats.org/spreadsheetml/2006/main" count="65" uniqueCount="48">
  <si>
    <t>項目</t>
  </si>
  <si>
    <t>值</t>
  </si>
  <si>
    <t>成員名單（一格一名）</t>
  </si>
  <si>
    <t>旅程名稱</t>
  </si>
  <si>
    <t>2026 東京行</t>
  </si>
  <si>
    <t>小明</t>
  </si>
  <si>
    <t>說明：</t>
  </si>
  <si>
    <t>國家</t>
  </si>
  <si>
    <t>日本</t>
  </si>
  <si>
    <t>小華</t>
  </si>
  <si>
    <t>・黃底儲存格＝可以修改的地方（旅程資訊、成員、幣別與匯率）。</t>
  </si>
  <si>
    <t>主幣別</t>
  </si>
  <si>
    <t>TWD</t>
  </si>
  <si>
    <t>小美</t>
  </si>
  <si>
    <t>・成員在 D2:D11 一格填一個名字，捷徑的選單直接讀這裡。</t>
  </si>
  <si>
    <t>阿強</t>
  </si>
  <si>
    <t>・幣別表從 A8 往下填（最多到第 30 列）；第一列（A8）＝捷徑選單的預設幣別。</t>
  </si>
  <si>
    <t>・主幣別自己也要列在幣別表，匯率填 1。</t>
  </si>
  <si>
    <t>幣別</t>
  </si>
  <si>
    <t>匯率（1 單位 = ? 主幣別）</t>
  </si>
  <si>
    <t>・B2:B4、D2:D11、A8:B30 的位置是與程式的約定，請勿插入列或搬動（要改位置請同步改 Code.gs 的 CELLS）。</t>
  </si>
  <si>
    <t>JPY</t>
  </si>
  <si>
    <t>id</t>
  </si>
  <si>
    <t>時間</t>
  </si>
  <si>
    <t>金額</t>
  </si>
  <si>
    <t>付款人</t>
  </si>
  <si>
    <t>分攤者</t>
  </si>
  <si>
    <t>分攤人數</t>
  </si>
  <si>
    <t>記錄者</t>
  </si>
  <si>
    <t>備註</t>
  </si>
  <si>
    <t>t1</t>
  </si>
  <si>
    <t>拉麵</t>
  </si>
  <si>
    <t>小明,小華,小美,阿強</t>
  </si>
  <si>
    <t>範例</t>
  </si>
  <si>
    <t>t2</t>
  </si>
  <si>
    <t>計程車</t>
  </si>
  <si>
    <t>小明,小華</t>
  </si>
  <si>
    <t>t3</t>
  </si>
  <si>
    <t>伴手禮</t>
  </si>
  <si>
    <t>旅程</t>
  </si>
  <si>
    <t>顯示幣別 ▶</t>
  </si>
  <si>
    <t>總支出</t>
  </si>
  <si>
    <t>筆數</t>
  </si>
  <si>
    <t>成員</t>
  </si>
  <si>
    <t>結果</t>
  </si>
  <si>
    <t>原幣總額</t>
  </si>
  <si>
    <t>檢查（淨額總和，應為 0）</t>
  </si>
  <si>
    <t>本分頁全是公式；只有 E1「顯示幣別」可以切換。右側「原幣總額」是各幣別的原始消費加總。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</si>
</sst>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/mm/dd\ hh:mm"/>
    <numFmt numFmtId="178" formatCode="#,##0.0"/>
  </numFmts>
  <fonts count="5">
    <font>
      <sz val="11"/>
      <color theme="1"/>
      <name val="新細明體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0"/>
      <color rgb="FF666666"/>
      <name val="Arial"/>
      <family val="2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0" fillId="3" borderId="0" xfId="0" applyFill="1"/>
    <xf numFmtId="177" fontId="2" fillId="0" borderId="0" xfId="0" applyNumberFormat="1" applyFont="1"/>
    <xf numFmtId="0" fontId="1" fillId="0" borderId="0" xfId="0" applyFont="1"/>
    <xf numFmtId="0" fontId="1" fillId="3" borderId="0" xfId="0" applyFont="1" applyFill="1"/>
    <xf numFmtId="3" fontId="2" fillId="0" borderId="0" xfId="0" applyNumberFormat="1" applyFont="1"/>
    <xf numFmtId="178" fontId="2" fillId="0" borderId="0" xfId="0" applyNumberFormat="1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B9" sqref="B9"/>
    </sheetView>
  </sheetViews>
  <sheetFormatPr baseColWidth="10" defaultColWidth="9" defaultRowHeight="14"/>
  <cols>
    <col min="1" max="1" width="12" customWidth="1"/>
    <col min="2" max="2" width="28" customWidth="1"/>
    <col min="4" max="4" width="20" customWidth="1"/>
    <col min="6" max="6" width="80" customWidth="1"/>
  </cols>
  <sheetData>
    <row r="1" spans="1:6">
      <c r="A1" s="1" t="s">
        <v>0</v>
      </c>
      <c r="B1" s="1" t="s">
        <v>1</v>
      </c>
      <c r="D1" s="1" t="s">
        <v>2</v>
      </c>
    </row>
    <row r="2" spans="1:6">
      <c r="A2" s="2" t="s">
        <v>3</v>
      </c>
      <c r="B2" s="3" t="s">
        <v>4</v>
      </c>
      <c r="D2" s="3" t="s">
        <v>5</v>
      </c>
      <c r="F2" s="4" t="s">
        <v>6</v>
      </c>
    </row>
    <row r="3" spans="1:6">
      <c r="A3" s="2" t="s">
        <v>7</v>
      </c>
      <c r="B3" s="3" t="s">
        <v>8</v>
      </c>
      <c r="D3" s="3" t="s">
        <v>9</v>
      </c>
      <c r="F3" s="4" t="s">
        <v>10</v>
      </c>
    </row>
    <row r="4" spans="1:6">
      <c r="A4" s="2" t="s">
        <v>11</v>
      </c>
      <c r="B4" s="3" t="s">
        <v>12</v>
      </c>
      <c r="D4" s="3" t="s">
        <v>13</v>
      </c>
      <c r="F4" s="4" t="s">
        <v>14</v>
      </c>
    </row>
    <row r="5" spans="1:6">
      <c r="D5" s="3" t="s">
        <v>15</v>
      </c>
      <c r="F5" s="4" t="s">
        <v>16</v>
      </c>
    </row>
    <row r="6" spans="1:6">
      <c r="D6" s="5"/>
      <c r="F6" s="4" t="s">
        <v>17</v>
      </c>
    </row>
    <row r="7" spans="1:6">
      <c r="A7" s="1" t="s">
        <v>18</v>
      </c>
      <c r="B7" s="1" t="s">
        <v>19</v>
      </c>
      <c r="D7" s="5"/>
      <c r="F7" s="4" t="s">
        <v>20</v>
      </c>
    </row>
    <row r="8" spans="1:6">
      <c r="A8" s="3" t="s">
        <v>21</v>
      </c>
      <c r="B8" s="3">
        <v>0.22</v>
      </c>
      <c r="D8" s="5"/>
    </row>
    <row r="9" spans="1:6">
      <c r="A9" s="3" t="s">
        <v>12</v>
      </c>
      <c r="B9" s="3">
        <v>1</v>
      </c>
      <c r="D9" s="5"/>
    </row>
    <row r="10" spans="1:6">
      <c r="A10" s="5"/>
      <c r="B10" s="5"/>
      <c r="D10" s="5"/>
    </row>
    <row r="11" spans="1:6">
      <c r="A11" s="5"/>
      <c r="B11" s="5"/>
      <c r="D11" s="5"/>
    </row>
    <row r="12" spans="1:6">
      <c r="A12" s="5"/>
      <c r="B12" s="5"/>
    </row>
    <row r="13" spans="1:6">
      <c r="A13" s="5"/>
      <c r="B13" s="5"/>
    </row>
    <row r="14" spans="1:6">
      <c r="A14" s="5"/>
      <c r="B14" s="5"/>
    </row>
    <row r="15" spans="1:6">
      <c r="A15" s="5"/>
      <c r="B15" s="5"/>
    </row>
    <row r="16" spans="1:6">
      <c r="A16" s="5"/>
      <c r="B16" s="5"/>
    </row>
    <row r="17" spans="1:2">
      <c r="A17" s="5"/>
      <c r="B17" s="5"/>
    </row>
    <row r="18" spans="1:2">
      <c r="A18" s="5"/>
      <c r="B18" s="5"/>
    </row>
    <row r="19" spans="1:2">
      <c r="A19" s="5"/>
      <c r="B19" s="5"/>
    </row>
    <row r="20" spans="1:2">
      <c r="A20" s="5"/>
      <c r="B20" s="5"/>
    </row>
    <row r="21" spans="1:2">
      <c r="A21" s="5"/>
      <c r="B21" s="5"/>
    </row>
    <row r="22" spans="1:2">
      <c r="A22" s="5"/>
      <c r="B22" s="5"/>
    </row>
    <row r="23" spans="1:2">
      <c r="A23" s="5"/>
      <c r="B23" s="5"/>
    </row>
    <row r="24" spans="1:2">
      <c r="A24" s="5"/>
      <c r="B24" s="5"/>
    </row>
    <row r="25" spans="1:2">
      <c r="A25" s="5"/>
      <c r="B25" s="5"/>
    </row>
    <row r="26" spans="1:2">
      <c r="A26" s="5"/>
      <c r="B26" s="5"/>
    </row>
    <row r="27" spans="1:2">
      <c r="A27" s="5"/>
      <c r="B27" s="5"/>
    </row>
    <row r="28" spans="1:2">
      <c r="A28" s="5"/>
      <c r="B28" s="5"/>
    </row>
    <row r="29" spans="1:2">
      <c r="A29" s="5"/>
      <c r="B29" s="5"/>
    </row>
    <row r="30" spans="1:2">
      <c r="A30" s="5"/>
      <c r="B30" s="5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9" defaultRowHeight="14"/>
  <cols>
    <col min="1" max="1" width="20" customWidth="1"/>
    <col min="2" max="2" width="18.3984375" customWidth="1"/>
    <col min="3" max="3" width="14" customWidth="1"/>
    <col min="4" max="4" width="9" customWidth="1"/>
    <col min="5" max="5" width="7" customWidth="1"/>
    <col min="6" max="6" width="9" customWidth="1"/>
    <col min="7" max="7" width="26" customWidth="1"/>
    <col min="8" max="9" width="9" customWidth="1"/>
    <col min="10" max="10" width="12" customWidth="1"/>
  </cols>
  <sheetData>
    <row r="1" spans="1:10">
      <c r="A1" s="1" t="s">
        <v>22</v>
      </c>
      <c r="B1" s="1" t="s">
        <v>23</v>
      </c>
      <c r="C1" s="1" t="s">
        <v>0</v>
      </c>
      <c r="D1" s="1" t="s">
        <v>24</v>
      </c>
      <c r="E1" s="1" t="s">
        <v>18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>
      <c r="A2" s="2" t="s">
        <v>30</v>
      </c>
      <c r="B2" s="6">
        <v>46266.5</v>
      </c>
      <c r="C2" s="2" t="s">
        <v>31</v>
      </c>
      <c r="D2" s="2">
        <v>4280</v>
      </c>
      <c r="E2" s="2" t="s">
        <v>21</v>
      </c>
      <c r="F2" s="2" t="s">
        <v>5</v>
      </c>
      <c r="G2" s="2" t="s">
        <v>32</v>
      </c>
      <c r="H2" s="2">
        <v>4</v>
      </c>
      <c r="I2" s="2" t="s">
        <v>5</v>
      </c>
      <c r="J2" s="2" t="s">
        <v>33</v>
      </c>
    </row>
    <row r="3" spans="1:10">
      <c r="A3" s="2" t="s">
        <v>34</v>
      </c>
      <c r="B3" s="6">
        <v>46266.541666666657</v>
      </c>
      <c r="C3" s="2" t="s">
        <v>35</v>
      </c>
      <c r="D3" s="2">
        <v>1800</v>
      </c>
      <c r="E3" s="2" t="s">
        <v>21</v>
      </c>
      <c r="F3" s="2" t="s">
        <v>9</v>
      </c>
      <c r="G3" s="2" t="s">
        <v>36</v>
      </c>
      <c r="H3" s="2">
        <v>2</v>
      </c>
      <c r="I3" s="2" t="s">
        <v>9</v>
      </c>
      <c r="J3" s="2" t="s">
        <v>33</v>
      </c>
    </row>
    <row r="4" spans="1:10">
      <c r="A4" s="2" t="s">
        <v>37</v>
      </c>
      <c r="B4" s="6">
        <v>46266.583333333343</v>
      </c>
      <c r="C4" s="2" t="s">
        <v>38</v>
      </c>
      <c r="D4" s="2">
        <v>1000</v>
      </c>
      <c r="E4" s="2" t="s">
        <v>12</v>
      </c>
      <c r="F4" s="2" t="s">
        <v>15</v>
      </c>
      <c r="G4" s="2" t="s">
        <v>32</v>
      </c>
      <c r="H4" s="2">
        <v>4</v>
      </c>
      <c r="I4" s="2" t="s">
        <v>15</v>
      </c>
      <c r="J4" s="2" t="s">
        <v>33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>
      <selection activeCell="E6" sqref="E6"/>
    </sheetView>
  </sheetViews>
  <sheetFormatPr baseColWidth="10" defaultColWidth="9" defaultRowHeight="14"/>
  <cols>
    <col min="1" max="1" width="24" customWidth="1"/>
    <col min="2" max="5" width="14" customWidth="1"/>
    <col min="6" max="6" width="3" customWidth="1"/>
    <col min="7" max="7" width="8" customWidth="1"/>
    <col min="8" max="8" width="12" customWidth="1"/>
  </cols>
  <sheetData>
    <row r="1" spans="1:8">
      <c r="A1" s="7" t="s">
        <v>39</v>
      </c>
      <c r="B1" s="2" t="str">
        <f>設定!B2</f>
        <v>2026 東京行</v>
      </c>
      <c r="D1" s="1" t="s">
        <v>40</v>
      </c>
      <c r="E1" s="8" t="s">
        <v>12</v>
      </c>
    </row>
    <row r="2" spans="1:8">
      <c r="A2" s="7" t="s">
        <v>41</v>
      </c>
      <c r="B2" s="9">
        <f>ROUND(SUMPRODUCT(記帳!$D$2:$D$1000*SUMIF(設定!$A$8:$A$30,記帳!$E$2:$E$1000,設定!$B$8:$B$30))/IFERROR(VLOOKUP($E$1,設定!$A$8:$B$30,2,FALSE),1),0)</f>
        <v>2338</v>
      </c>
    </row>
    <row r="3" spans="1:8">
      <c r="A3" s="7" t="s">
        <v>42</v>
      </c>
      <c r="B3" s="2">
        <f>COUNTA(記帳!$A$2:$A$1000)</f>
        <v>3</v>
      </c>
    </row>
    <row r="5" spans="1:8">
      <c r="A5" s="1" t="s">
        <v>43</v>
      </c>
      <c r="B5" s="1" t="str">
        <f>"已付("&amp;$E$1&amp;")"</f>
        <v>已付(TWD)</v>
      </c>
      <c r="C5" s="1" t="str">
        <f>"應分攤("&amp;$E$1&amp;")"</f>
        <v>應分攤(TWD)</v>
      </c>
      <c r="D5" s="1" t="str">
        <f>"淨額("&amp;$E$1&amp;")"</f>
        <v>淨額(TWD)</v>
      </c>
      <c r="E5" s="1" t="s">
        <v>44</v>
      </c>
      <c r="G5" s="1" t="s">
        <v>18</v>
      </c>
      <c r="H5" s="1" t="s">
        <v>45</v>
      </c>
    </row>
    <row r="6" spans="1:8">
      <c r="A6" s="2" t="str">
        <f>IF(設定!D2="","",設定!D2)</f>
        <v>小明</v>
      </c>
      <c r="B6" s="10">
        <f>IF($A6="","",SUMPRODUCT((記帳!$F$2:$F$1000=$A6)*記帳!$D$2:$D$1000*SUMIF(設定!$A$8:$A$30,記帳!$E$2:$E$1000,設定!$B$8:$B$30))/IFERROR(VLOOKUP($E$1,設定!$A$8:$B$30,2,FALSE),1))</f>
        <v>941.6</v>
      </c>
      <c r="C6" s="10">
        <f>IF($A6="","",SUMPRODUCT(ISNUMBER(FIND(","&amp;$A6&amp;",",","&amp;記帳!$G$2:$G$1000&amp;","))*記帳!$D$2:$D$1000*SUMIF(設定!$A$8:$A$30,記帳!$E$2:$E$1000,設定!$B$8:$B$30)/(記帳!$H$2:$H$1000+(記帳!$H$2:$H$1000=0)))/IFERROR(VLOOKUP($E$1,設定!$A$8:$B$30,2,FALSE),1))</f>
        <v>683.4</v>
      </c>
      <c r="D6" s="10">
        <f t="shared" ref="D6:D15" si="0">IF($A6="","",B6-C6)</f>
        <v>258.20000000000005</v>
      </c>
      <c r="E6" s="2" t="str">
        <f t="shared" ref="E6:E15" si="1">IF($A6="","",IF(ROUND(D6,0)&gt;0,"應收 "&amp;TEXT(ROUND(D6,0),"#,##0"),IF(ROUND(D6,0)&lt;0,"應付 "&amp;TEXT(-ROUND(D6,0),"#,##0"),"打平")))</f>
        <v>應收 258</v>
      </c>
      <c r="G6" s="2" t="str">
        <f>IF(設定!A8="","",設定!A8)</f>
        <v>JPY</v>
      </c>
      <c r="H6" s="9">
        <f>IF($G6="","",SUMIF(記帳!$E$2:$E$1000,$G6,記帳!$D$2:$D$1000))</f>
        <v>6080</v>
      </c>
    </row>
    <row r="7" spans="1:8">
      <c r="A7" s="2" t="str">
        <f>IF(設定!D3="","",設定!D3)</f>
        <v>小華</v>
      </c>
      <c r="B7" s="10">
        <f>IF($A7="","",SUMPRODUCT((記帳!$F$2:$F$1000=$A7)*記帳!$D$2:$D$1000*SUMIF(設定!$A$8:$A$30,記帳!$E$2:$E$1000,設定!$B$8:$B$30))/IFERROR(VLOOKUP($E$1,設定!$A$8:$B$30,2,FALSE),1))</f>
        <v>396</v>
      </c>
      <c r="C7" s="10">
        <f>IF($A7="","",SUMPRODUCT(ISNUMBER(FIND(","&amp;$A7&amp;",",","&amp;記帳!$G$2:$G$1000&amp;","))*記帳!$D$2:$D$1000*SUMIF(設定!$A$8:$A$30,記帳!$E$2:$E$1000,設定!$B$8:$B$30)/(記帳!$H$2:$H$1000+(記帳!$H$2:$H$1000=0)))/IFERROR(VLOOKUP($E$1,設定!$A$8:$B$30,2,FALSE),1))</f>
        <v>683.4</v>
      </c>
      <c r="D7" s="10">
        <f t="shared" si="0"/>
        <v>-287.39999999999998</v>
      </c>
      <c r="E7" s="2" t="str">
        <f t="shared" si="1"/>
        <v>應付 287</v>
      </c>
      <c r="G7" s="2" t="str">
        <f>IF(設定!A9="","",設定!A9)</f>
        <v>TWD</v>
      </c>
      <c r="H7" s="9">
        <f>IF($G7="","",SUMIF(記帳!$E$2:$E$1000,$G7,記帳!$D$2:$D$1000))</f>
        <v>1000</v>
      </c>
    </row>
    <row r="8" spans="1:8">
      <c r="A8" s="2" t="str">
        <f>IF(設定!D4="","",設定!D4)</f>
        <v>小美</v>
      </c>
      <c r="B8" s="10">
        <f>IF($A8="","",SUMPRODUCT((記帳!$F$2:$F$1000=$A8)*記帳!$D$2:$D$1000*SUMIF(設定!$A$8:$A$30,記帳!$E$2:$E$1000,設定!$B$8:$B$30))/IFERROR(VLOOKUP($E$1,設定!$A$8:$B$30,2,FALSE),1))</f>
        <v>0</v>
      </c>
      <c r="C8" s="10">
        <f>IF($A8="","",SUMPRODUCT(ISNUMBER(FIND(","&amp;$A8&amp;",",","&amp;記帳!$G$2:$G$1000&amp;","))*記帳!$D$2:$D$1000*SUMIF(設定!$A$8:$A$30,記帳!$E$2:$E$1000,設定!$B$8:$B$30)/(記帳!$H$2:$H$1000+(記帳!$H$2:$H$1000=0)))/IFERROR(VLOOKUP($E$1,設定!$A$8:$B$30,2,FALSE),1))</f>
        <v>485.4</v>
      </c>
      <c r="D8" s="10">
        <f t="shared" si="0"/>
        <v>-485.4</v>
      </c>
      <c r="E8" s="2" t="str">
        <f t="shared" si="1"/>
        <v>應付 485</v>
      </c>
      <c r="G8" s="2" t="str">
        <f>IF(設定!A10="","",設定!A10)</f>
        <v/>
      </c>
      <c r="H8" s="9" t="str">
        <f>IF($G8="","",SUMIF(記帳!$E$2:$E$1000,$G8,記帳!$D$2:$D$1000))</f>
        <v/>
      </c>
    </row>
    <row r="9" spans="1:8">
      <c r="A9" s="2" t="str">
        <f>IF(設定!D5="","",設定!D5)</f>
        <v>阿強</v>
      </c>
      <c r="B9" s="10">
        <f>IF($A9="","",SUMPRODUCT((記帳!$F$2:$F$1000=$A9)*記帳!$D$2:$D$1000*SUMIF(設定!$A$8:$A$30,記帳!$E$2:$E$1000,設定!$B$8:$B$30))/IFERROR(VLOOKUP($E$1,設定!$A$8:$B$30,2,FALSE),1))</f>
        <v>1000</v>
      </c>
      <c r="C9" s="10">
        <f>IF($A9="","",SUMPRODUCT(ISNUMBER(FIND(","&amp;$A9&amp;",",","&amp;記帳!$G$2:$G$1000&amp;","))*記帳!$D$2:$D$1000*SUMIF(設定!$A$8:$A$30,記帳!$E$2:$E$1000,設定!$B$8:$B$30)/(記帳!$H$2:$H$1000+(記帳!$H$2:$H$1000=0)))/IFERROR(VLOOKUP($E$1,設定!$A$8:$B$30,2,FALSE),1))</f>
        <v>485.4</v>
      </c>
      <c r="D9" s="10">
        <f t="shared" si="0"/>
        <v>514.6</v>
      </c>
      <c r="E9" s="2" t="str">
        <f t="shared" si="1"/>
        <v>應收 515</v>
      </c>
      <c r="G9" s="2" t="str">
        <f>IF(設定!A11="","",設定!A11)</f>
        <v/>
      </c>
      <c r="H9" s="9" t="str">
        <f>IF($G9="","",SUMIF(記帳!$E$2:$E$1000,$G9,記帳!$D$2:$D$1000))</f>
        <v/>
      </c>
    </row>
    <row r="10" spans="1:8">
      <c r="A10" s="2" t="str">
        <f>IF(設定!D6="","",設定!D6)</f>
        <v/>
      </c>
      <c r="B10" s="10" t="str">
        <f>IF($A10="","",SUMPRODUCT((記帳!$F$2:$F$1000=$A10)*記帳!$D$2:$D$1000*SUMIF(設定!$A$8:$A$30,記帳!$E$2:$E$1000,設定!$B$8:$B$30))/IFERROR(VLOOKUP($E$1,設定!$A$8:$B$30,2,FALSE),1))</f>
        <v/>
      </c>
      <c r="C10" s="10" t="str">
        <f>IF($A10="","",SUMPRODUCT(ISNUMBER(FIND(","&amp;$A10&amp;",",","&amp;記帳!$G$2:$G$1000&amp;","))*記帳!$D$2:$D$1000*SUMIF(設定!$A$8:$A$30,記帳!$E$2:$E$1000,設定!$B$8:$B$30)/(記帳!$H$2:$H$1000+(記帳!$H$2:$H$1000=0)))/IFERROR(VLOOKUP($E$1,設定!$A$8:$B$30,2,FALSE),1))</f>
        <v/>
      </c>
      <c r="D10" s="10" t="str">
        <f t="shared" si="0"/>
        <v/>
      </c>
      <c r="E10" s="2" t="str">
        <f t="shared" si="1"/>
        <v/>
      </c>
      <c r="G10" s="2" t="str">
        <f>IF(設定!A12="","",設定!A12)</f>
        <v/>
      </c>
      <c r="H10" s="9" t="str">
        <f>IF($G10="","",SUMIF(記帳!$E$2:$E$1000,$G10,記帳!$D$2:$D$1000))</f>
        <v/>
      </c>
    </row>
    <row r="11" spans="1:8">
      <c r="A11" s="2" t="str">
        <f>IF(設定!D7="","",設定!D7)</f>
        <v/>
      </c>
      <c r="B11" s="10" t="str">
        <f>IF($A11="","",SUMPRODUCT((記帳!$F$2:$F$1000=$A11)*記帳!$D$2:$D$1000*SUMIF(設定!$A$8:$A$30,記帳!$E$2:$E$1000,設定!$B$8:$B$30))/IFERROR(VLOOKUP($E$1,設定!$A$8:$B$30,2,FALSE),1))</f>
        <v/>
      </c>
      <c r="C11" s="10" t="str">
        <f>IF($A11="","",SUMPRODUCT(ISNUMBER(FIND(","&amp;$A11&amp;",",","&amp;記帳!$G$2:$G$1000&amp;","))*記帳!$D$2:$D$1000*SUMIF(設定!$A$8:$A$30,記帳!$E$2:$E$1000,設定!$B$8:$B$30)/(記帳!$H$2:$H$1000+(記帳!$H$2:$H$1000=0)))/IFERROR(VLOOKUP($E$1,設定!$A$8:$B$30,2,FALSE),1))</f>
        <v/>
      </c>
      <c r="D11" s="10" t="str">
        <f t="shared" si="0"/>
        <v/>
      </c>
      <c r="E11" s="2" t="str">
        <f t="shared" si="1"/>
        <v/>
      </c>
      <c r="G11" s="2" t="str">
        <f>IF(設定!A13="","",設定!A13)</f>
        <v/>
      </c>
      <c r="H11" s="9" t="str">
        <f>IF($G11="","",SUMIF(記帳!$E$2:$E$1000,$G11,記帳!$D$2:$D$1000))</f>
        <v/>
      </c>
    </row>
    <row r="12" spans="1:8">
      <c r="A12" s="2" t="str">
        <f>IF(設定!D8="","",設定!D8)</f>
        <v/>
      </c>
      <c r="B12" s="10" t="str">
        <f>IF($A12="","",SUMPRODUCT((記帳!$F$2:$F$1000=$A12)*記帳!$D$2:$D$1000*SUMIF(設定!$A$8:$A$30,記帳!$E$2:$E$1000,設定!$B$8:$B$30))/IFERROR(VLOOKUP($E$1,設定!$A$8:$B$30,2,FALSE),1))</f>
        <v/>
      </c>
      <c r="C12" s="10" t="str">
        <f>IF($A12="","",SUMPRODUCT(ISNUMBER(FIND(","&amp;$A12&amp;",",","&amp;記帳!$G$2:$G$1000&amp;","))*記帳!$D$2:$D$1000*SUMIF(設定!$A$8:$A$30,記帳!$E$2:$E$1000,設定!$B$8:$B$30)/(記帳!$H$2:$H$1000+(記帳!$H$2:$H$1000=0)))/IFERROR(VLOOKUP($E$1,設定!$A$8:$B$30,2,FALSE),1))</f>
        <v/>
      </c>
      <c r="D12" s="10" t="str">
        <f t="shared" si="0"/>
        <v/>
      </c>
      <c r="E12" s="2" t="str">
        <f t="shared" si="1"/>
        <v/>
      </c>
      <c r="G12" s="2" t="str">
        <f>IF(設定!A14="","",設定!A14)</f>
        <v/>
      </c>
      <c r="H12" s="9" t="str">
        <f>IF($G12="","",SUMIF(記帳!$E$2:$E$1000,$G12,記帳!$D$2:$D$1000))</f>
        <v/>
      </c>
    </row>
    <row r="13" spans="1:8">
      <c r="A13" s="2" t="str">
        <f>IF(設定!D9="","",設定!D9)</f>
        <v/>
      </c>
      <c r="B13" s="10" t="str">
        <f>IF($A13="","",SUMPRODUCT((記帳!$F$2:$F$1000=$A13)*記帳!$D$2:$D$1000*SUMIF(設定!$A$8:$A$30,記帳!$E$2:$E$1000,設定!$B$8:$B$30))/IFERROR(VLOOKUP($E$1,設定!$A$8:$B$30,2,FALSE),1))</f>
        <v/>
      </c>
      <c r="C13" s="10" t="str">
        <f>IF($A13="","",SUMPRODUCT(ISNUMBER(FIND(","&amp;$A13&amp;",",","&amp;記帳!$G$2:$G$1000&amp;","))*記帳!$D$2:$D$1000*SUMIF(設定!$A$8:$A$30,記帳!$E$2:$E$1000,設定!$B$8:$B$30)/(記帳!$H$2:$H$1000+(記帳!$H$2:$H$1000=0)))/IFERROR(VLOOKUP($E$1,設定!$A$8:$B$30,2,FALSE),1))</f>
        <v/>
      </c>
      <c r="D13" s="10" t="str">
        <f t="shared" si="0"/>
        <v/>
      </c>
      <c r="E13" s="2" t="str">
        <f t="shared" si="1"/>
        <v/>
      </c>
      <c r="G13" s="2" t="str">
        <f>IF(設定!A15="","",設定!A15)</f>
        <v/>
      </c>
      <c r="H13" s="9" t="str">
        <f>IF($G13="","",SUMIF(記帳!$E$2:$E$1000,$G13,記帳!$D$2:$D$1000))</f>
        <v/>
      </c>
    </row>
    <row r="14" spans="1:8">
      <c r="A14" s="2" t="str">
        <f>IF(設定!D10="","",設定!D10)</f>
        <v/>
      </c>
      <c r="B14" s="10" t="str">
        <f>IF($A14="","",SUMPRODUCT((記帳!$F$2:$F$1000=$A14)*記帳!$D$2:$D$1000*SUMIF(設定!$A$8:$A$30,記帳!$E$2:$E$1000,設定!$B$8:$B$30))/IFERROR(VLOOKUP($E$1,設定!$A$8:$B$30,2,FALSE),1))</f>
        <v/>
      </c>
      <c r="C14" s="10" t="str">
        <f>IF($A14="","",SUMPRODUCT(ISNUMBER(FIND(","&amp;$A14&amp;",",","&amp;記帳!$G$2:$G$1000&amp;","))*記帳!$D$2:$D$1000*SUMIF(設定!$A$8:$A$30,記帳!$E$2:$E$1000,設定!$B$8:$B$30)/(記帳!$H$2:$H$1000+(記帳!$H$2:$H$1000=0)))/IFERROR(VLOOKUP($E$1,設定!$A$8:$B$30,2,FALSE),1))</f>
        <v/>
      </c>
      <c r="D14" s="10" t="str">
        <f t="shared" si="0"/>
        <v/>
      </c>
      <c r="E14" s="2" t="str">
        <f t="shared" si="1"/>
        <v/>
      </c>
      <c r="G14" s="2" t="str">
        <f>IF(設定!A16="","",設定!A16)</f>
        <v/>
      </c>
      <c r="H14" s="9" t="str">
        <f>IF($G14="","",SUMIF(記帳!$E$2:$E$1000,$G14,記帳!$D$2:$D$1000))</f>
        <v/>
      </c>
    </row>
    <row r="15" spans="1:8">
      <c r="A15" s="2" t="str">
        <f>IF(設定!D11="","",設定!D11)</f>
        <v/>
      </c>
      <c r="B15" s="10" t="str">
        <f>IF($A15="","",SUMPRODUCT((記帳!$F$2:$F$1000=$A15)*記帳!$D$2:$D$1000*SUMIF(設定!$A$8:$A$30,記帳!$E$2:$E$1000,設定!$B$8:$B$30))/IFERROR(VLOOKUP($E$1,設定!$A$8:$B$30,2,FALSE),1))</f>
        <v/>
      </c>
      <c r="C15" s="10" t="str">
        <f>IF($A15="","",SUMPRODUCT(ISNUMBER(FIND(","&amp;$A15&amp;",",","&amp;記帳!$G$2:$G$1000&amp;","))*記帳!$D$2:$D$1000*SUMIF(設定!$A$8:$A$30,記帳!$E$2:$E$1000,設定!$B$8:$B$30)/(記帳!$H$2:$H$1000+(記帳!$H$2:$H$1000=0)))/IFERROR(VLOOKUP($E$1,設定!$A$8:$B$30,2,FALSE),1))</f>
        <v/>
      </c>
      <c r="D15" s="10" t="str">
        <f t="shared" si="0"/>
        <v/>
      </c>
      <c r="E15" s="2" t="str">
        <f t="shared" si="1"/>
        <v/>
      </c>
      <c r="G15" s="2" t="str">
        <f>IF(設定!A17="","",設定!A17)</f>
        <v/>
      </c>
      <c r="H15" s="9" t="str">
        <f>IF($G15="","",SUMIF(記帳!$E$2:$E$1000,$G15,記帳!$D$2:$D$1000))</f>
        <v/>
      </c>
    </row>
    <row r="17" spans="1:2">
      <c r="A17" s="4" t="s">
        <v>46</v>
      </c>
      <c r="B17" s="2">
        <f>ROUND(SUM($D$6:$D$15),2)</f>
        <v>0</v>
      </c>
    </row>
    <row r="19" spans="1:2">
      <c r="A19" s="4" t="s">
        <v>47</v>
      </c>
    </row>
  </sheetData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="請從下拉選單選擇設定分頁裡的幣別" prompt="切換後結算表與捷徑查帳都會換算成這個幣別" xr:uid="{00000000-0002-0000-0200-000000000000}">
          <x14:formula1>
            <xm:f>設定!$A$8:$A$30</xm:f>
          </x14:formula1>
          <xm:sqref>E1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設定</vt:lpstr>
      <vt:lpstr>記帳</vt:lpstr>
      <vt:lpstr>結算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M11307518</cp:lastModifiedBy>
  <dcterms:created xsi:type="dcterms:W3CDTF">2026-09-15T19:57:34Z</dcterms:created>
  <dcterms:modified xsi:type="dcterms:W3CDTF">2026-09-17T06:11:57Z</dcterms:modified>
</cp:coreProperties>
</file>